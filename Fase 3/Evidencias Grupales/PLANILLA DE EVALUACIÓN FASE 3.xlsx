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occl0-my.sharepoint.com/personal/ge_galan_profesor_duoc_cl/Documents/2024-2/Clases/CAPSTONE/DOCUMENTOS FASE3/"/>
    </mc:Choice>
  </mc:AlternateContent>
  <xr:revisionPtr revIDLastSave="821" documentId="8_{2EFDF332-31E9-4C74-A6B5-E695634C1C45}" xr6:coauthVersionLast="47" xr6:coauthVersionMax="47" xr10:uidLastSave="{166F6071-9A91-4FC1-A48E-95B70981F881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<sst xmlns="http://schemas.openxmlformats.org/spreadsheetml/2006/main" count="163" uniqueCount="65">
  <si>
    <t>INTEGRANTES</t>
  </si>
  <si>
    <t>Nota docente asignatura</t>
  </si>
  <si>
    <t>Nota comision</t>
  </si>
  <si>
    <t>Nota final</t>
  </si>
  <si>
    <t>CARLOS CATALAN</t>
  </si>
  <si>
    <t>SEBASTIAN SOLAR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</si>
  <si>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</si>
  <si>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</si>
  <si>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</si>
  <si>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</si>
  <si>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</si>
  <si>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</si>
  <si>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</si>
  <si>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</si>
  <si>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Logro incipiente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</si>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</sst>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9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left" vertical="center"/>
    </xf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3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F4" sqref="F4"/>
    </sheetView>
  </sheetViews>
  <sheetFormatPr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ht="14.45">
      <c r="C2" s="29">
        <v>0.7</v>
      </c>
      <c r="D2" s="32">
        <v>0.3</v>
      </c>
      <c r="E2" s="33">
        <v>1</v>
      </c>
    </row>
    <row r="3" spans="1:11" ht="14.45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5">
      <c r="A4" s="3">
        <v>1</v>
      </c>
      <c r="B4" s="16" t="s">
        <v>4</v>
      </c>
      <c r="C4" s="31">
        <f>C21</f>
        <v>3.5</v>
      </c>
      <c r="D4" s="37">
        <f>C60</f>
        <v>3.4</v>
      </c>
      <c r="E4" s="36">
        <f>C4*C$2+D4*D$2</f>
        <v>3.4699999999999998</v>
      </c>
    </row>
    <row r="5" spans="1:11" ht="14.45">
      <c r="A5" s="3">
        <v>2</v>
      </c>
      <c r="B5" s="16" t="s">
        <v>5</v>
      </c>
      <c r="C5" s="31">
        <f>C34</f>
        <v>3.4</v>
      </c>
      <c r="D5" s="37">
        <f>C73</f>
        <v>3.4</v>
      </c>
      <c r="E5" s="36">
        <f t="shared" ref="E5:E6" si="0">C5*C$2+D5*D$2</f>
        <v>3.4</v>
      </c>
    </row>
    <row r="6" spans="1:11" ht="14.45">
      <c r="A6" s="3">
        <v>3</v>
      </c>
      <c r="B6" s="16"/>
      <c r="C6" s="31">
        <f>C47</f>
        <v>7</v>
      </c>
      <c r="D6" s="37">
        <f>C86</f>
        <v>7</v>
      </c>
      <c r="E6" s="36">
        <f t="shared" si="0"/>
        <v>7</v>
      </c>
    </row>
    <row r="11" spans="1:11" ht="18" outlineLevel="1">
      <c r="A11" s="43" t="s">
        <v>6</v>
      </c>
      <c r="B11" s="11" t="str">
        <f>B4</f>
        <v>CARLOS CATALAN</v>
      </c>
      <c r="C11" s="40" t="s">
        <v>7</v>
      </c>
      <c r="D11" s="41" t="s">
        <v>8</v>
      </c>
      <c r="E11" s="53"/>
      <c r="F11" s="53"/>
      <c r="G11" s="53"/>
      <c r="H11" s="53"/>
      <c r="I11" s="53"/>
      <c r="J11" s="53"/>
      <c r="K11" s="54"/>
    </row>
    <row r="12" spans="1:11" ht="14.45" outlineLevel="1">
      <c r="A12" s="55"/>
      <c r="B12" s="15" t="s">
        <v>9</v>
      </c>
      <c r="C12" s="56"/>
      <c r="D12" s="41" t="s">
        <v>10</v>
      </c>
      <c r="E12" s="54"/>
      <c r="F12" s="41" t="s">
        <v>11</v>
      </c>
      <c r="G12" s="54"/>
      <c r="H12" s="42" t="s">
        <v>12</v>
      </c>
      <c r="I12" s="54"/>
      <c r="J12" s="41" t="s">
        <v>13</v>
      </c>
      <c r="K12" s="54"/>
    </row>
    <row r="13" spans="1:11" ht="24" outlineLevel="1">
      <c r="A13" s="57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14</v>
      </c>
      <c r="D13" s="12" t="str">
        <f t="shared" ref="D13:D17" si="1">IF($C13=CL,"X","")</f>
        <v/>
      </c>
      <c r="E13" s="12" t="str">
        <f>IF(D13="X",100*0.15,"")</f>
        <v/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>X</v>
      </c>
      <c r="I13" s="12">
        <f>IF(H13="X",30*0.15,"")</f>
        <v>4.5</v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57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14</v>
      </c>
      <c r="D14" s="12" t="str">
        <f t="shared" si="1"/>
        <v/>
      </c>
      <c r="E14" s="12" t="str">
        <f>IF(D14="X",100*0.25,"")</f>
        <v/>
      </c>
      <c r="F14" s="12" t="str">
        <f t="shared" si="2"/>
        <v/>
      </c>
      <c r="G14" s="12" t="str">
        <f>IF(F14="X",60*0.25,"")</f>
        <v/>
      </c>
      <c r="H14" s="12" t="str">
        <f t="shared" si="3"/>
        <v>X</v>
      </c>
      <c r="I14" s="12">
        <f>IF(H14="X",30*0.25,"")</f>
        <v>7.5</v>
      </c>
      <c r="J14" s="12" t="str">
        <f t="shared" si="4"/>
        <v/>
      </c>
      <c r="K14" s="12" t="str">
        <f t="shared" si="5"/>
        <v/>
      </c>
    </row>
    <row r="15" spans="1:11" ht="24" outlineLevel="1">
      <c r="A15" s="57"/>
      <c r="B15" s="19" t="str">
        <f>RUBRICA!A6</f>
        <v>3. Responde las preguntas realizadas por la comisión, cumpliendo con los estándares de calidad de la disciplina.</v>
      </c>
      <c r="C15" s="17" t="s">
        <v>14</v>
      </c>
      <c r="D15" s="12" t="str">
        <f t="shared" si="1"/>
        <v/>
      </c>
      <c r="E15" s="12" t="str">
        <f>IF(D15="X",100*0.2,"")</f>
        <v/>
      </c>
      <c r="F15" s="12" t="str">
        <f t="shared" si="2"/>
        <v/>
      </c>
      <c r="G15" s="12" t="str">
        <f>IF(F15="X",60*0.2,"")</f>
        <v/>
      </c>
      <c r="H15" s="12" t="str">
        <f t="shared" si="3"/>
        <v>X</v>
      </c>
      <c r="I15" s="12">
        <f>IF(H15="X",30*0.2,"")</f>
        <v>6</v>
      </c>
      <c r="J15" s="12" t="str">
        <f t="shared" si="4"/>
        <v/>
      </c>
      <c r="K15" s="12" t="str">
        <f t="shared" si="5"/>
        <v/>
      </c>
    </row>
    <row r="16" spans="1:11" ht="24" outlineLevel="1">
      <c r="A16" s="57"/>
      <c r="B16" s="19" t="str">
        <f>RUBRICA!A7</f>
        <v>4. Expone el Proyecto APT, considerando el formato y el tiempo establecido para la presentación.</v>
      </c>
      <c r="C16" s="17" t="s">
        <v>10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57"/>
      <c r="B17" s="19" t="str">
        <f>RUBRICA!A8</f>
        <v>5. Expresa sus ideas con fluidez, claridad y precisión, utilizando lenguaje técnico propio de la disciplina.</v>
      </c>
      <c r="C17" s="17" t="s">
        <v>11</v>
      </c>
      <c r="D17" s="12" t="str">
        <f t="shared" si="1"/>
        <v/>
      </c>
      <c r="E17" s="12" t="str">
        <f>IF(D17="X",100*0.05,"")</f>
        <v/>
      </c>
      <c r="F17" s="12" t="str">
        <f t="shared" si="2"/>
        <v>X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>
      <c r="A18" s="57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10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57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14</v>
      </c>
      <c r="D19" s="12" t="str">
        <f>IF($C19=CL,"X","")</f>
        <v/>
      </c>
      <c r="E19" s="12" t="str">
        <f>IF(D19="X",100*0.1,"")</f>
        <v/>
      </c>
      <c r="F19" s="12" t="str">
        <f>IF($C19=L,"X","")</f>
        <v/>
      </c>
      <c r="G19" s="12" t="str">
        <f>IF(F19="X",60*0.1,"")</f>
        <v/>
      </c>
      <c r="H19" s="12" t="str">
        <f>IF($C19=ML,"X","")</f>
        <v>X</v>
      </c>
      <c r="I19" s="12">
        <f>IF(H19="X",30*0.1,"")</f>
        <v>3</v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55"/>
      <c r="B20" s="18" t="s">
        <v>15</v>
      </c>
      <c r="C20" s="22">
        <f>E20+G20+I20+K20</f>
        <v>49</v>
      </c>
      <c r="D20" s="13"/>
      <c r="E20" s="13">
        <f>SUM(E13:E19)</f>
        <v>25</v>
      </c>
      <c r="F20" s="13"/>
      <c r="G20" s="13">
        <f>SUM(G13:G19)</f>
        <v>3</v>
      </c>
      <c r="H20" s="13"/>
      <c r="I20" s="13">
        <f>SUM(I13:I19)</f>
        <v>21</v>
      </c>
      <c r="J20" s="13"/>
      <c r="K20" s="13">
        <f>SUM(K13:K19)</f>
        <v>0</v>
      </c>
    </row>
    <row r="21" spans="1:11" ht="15.75" customHeight="1" outlineLevel="1">
      <c r="A21" s="56"/>
      <c r="B21" s="21" t="s">
        <v>16</v>
      </c>
      <c r="C21" s="14">
        <f>VLOOKUP(C20,ESCALA_IEP!A2:B202,2,FALSE)</f>
        <v>3.5</v>
      </c>
    </row>
    <row r="22" spans="1:11" ht="15.75" customHeight="1"/>
    <row r="23" spans="1:11" ht="15.75" customHeight="1"/>
    <row r="24" spans="1:11" ht="24" customHeight="1">
      <c r="A24" s="43" t="s">
        <v>6</v>
      </c>
      <c r="B24" s="11" t="str">
        <f>B5</f>
        <v>SEBASTIAN SOLAR</v>
      </c>
      <c r="C24" s="40" t="s">
        <v>7</v>
      </c>
      <c r="D24" s="41" t="s">
        <v>8</v>
      </c>
      <c r="E24" s="53"/>
      <c r="F24" s="53"/>
      <c r="G24" s="53"/>
      <c r="H24" s="53"/>
      <c r="I24" s="53"/>
      <c r="J24" s="53"/>
      <c r="K24" s="54"/>
    </row>
    <row r="25" spans="1:11" ht="24" customHeight="1">
      <c r="A25" s="55"/>
      <c r="B25" s="15" t="s">
        <v>9</v>
      </c>
      <c r="C25" s="56"/>
      <c r="D25" s="41" t="s">
        <v>10</v>
      </c>
      <c r="E25" s="54"/>
      <c r="F25" s="41" t="s">
        <v>11</v>
      </c>
      <c r="G25" s="54"/>
      <c r="H25" s="42" t="s">
        <v>12</v>
      </c>
      <c r="I25" s="54"/>
      <c r="J25" s="41" t="s">
        <v>13</v>
      </c>
      <c r="K25" s="54"/>
    </row>
    <row r="26" spans="1:11" ht="24" customHeight="1">
      <c r="A26" s="57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14</v>
      </c>
      <c r="D26" s="12" t="str">
        <f t="shared" ref="D26:D30" si="7">IF($C26=CL,"X","")</f>
        <v/>
      </c>
      <c r="E26" s="12" t="str">
        <f>IF(D26="X",100*0.15,"")</f>
        <v/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>X</v>
      </c>
      <c r="I26" s="12">
        <f>IF(H26="X",30*0.15,"")</f>
        <v>4.5</v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57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14</v>
      </c>
      <c r="D27" s="12" t="str">
        <f t="shared" si="7"/>
        <v/>
      </c>
      <c r="E27" s="12" t="str">
        <f>IF(D27="X",100*0.25,"")</f>
        <v/>
      </c>
      <c r="F27" s="12" t="str">
        <f t="shared" si="8"/>
        <v/>
      </c>
      <c r="G27" s="12" t="str">
        <f>IF(F27="X",60*0.25,"")</f>
        <v/>
      </c>
      <c r="H27" s="12" t="str">
        <f t="shared" si="9"/>
        <v>X</v>
      </c>
      <c r="I27" s="12">
        <f>IF(H27="X",30*0.25,"")</f>
        <v>7.5</v>
      </c>
      <c r="J27" s="12" t="str">
        <f t="shared" si="10"/>
        <v/>
      </c>
      <c r="K27" s="12" t="str">
        <f t="shared" si="11"/>
        <v/>
      </c>
    </row>
    <row r="28" spans="1:11" ht="24" customHeight="1">
      <c r="A28" s="57"/>
      <c r="B28" s="19" t="str">
        <f>RUBRICA!A6</f>
        <v>3. Responde las preguntas realizadas por la comisión, cumpliendo con los estándares de calidad de la disciplina.</v>
      </c>
      <c r="C28" s="17" t="s">
        <v>14</v>
      </c>
      <c r="D28" s="12" t="str">
        <f t="shared" si="7"/>
        <v/>
      </c>
      <c r="E28" s="12" t="str">
        <f>IF(D28="X",100*0.2,"")</f>
        <v/>
      </c>
      <c r="F28" s="12" t="str">
        <f t="shared" si="8"/>
        <v/>
      </c>
      <c r="G28" s="12" t="str">
        <f>IF(F28="X",60*0.2,"")</f>
        <v/>
      </c>
      <c r="H28" s="12" t="str">
        <f t="shared" si="9"/>
        <v>X</v>
      </c>
      <c r="I28" s="12">
        <f>IF(H28="X",30*0.2,"")</f>
        <v>6</v>
      </c>
      <c r="J28" s="12" t="str">
        <f t="shared" si="10"/>
        <v/>
      </c>
      <c r="K28" s="12" t="str">
        <f t="shared" si="11"/>
        <v/>
      </c>
    </row>
    <row r="29" spans="1:11" ht="24" customHeight="1">
      <c r="A29" s="57"/>
      <c r="B29" s="19" t="str">
        <f>RUBRICA!A7</f>
        <v>4. Expone el Proyecto APT, considerando el formato y el tiempo establecido para la presentación.</v>
      </c>
      <c r="C29" s="17" t="s">
        <v>10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57"/>
      <c r="B30" s="19" t="str">
        <f>RUBRICA!A8</f>
        <v>5. Expresa sus ideas con fluidez, claridad y precisión, utilizando lenguaje técnico propio de la disciplina.</v>
      </c>
      <c r="C30" s="17" t="s">
        <v>14</v>
      </c>
      <c r="D30" s="12" t="str">
        <f t="shared" si="7"/>
        <v/>
      </c>
      <c r="E30" s="12" t="str">
        <f>IF(D30="X",100*0.05,"")</f>
        <v/>
      </c>
      <c r="F30" s="12" t="str">
        <f t="shared" si="8"/>
        <v/>
      </c>
      <c r="G30" s="12" t="str">
        <f>IF(F30="X",60*0.05,"")</f>
        <v/>
      </c>
      <c r="H30" s="12" t="str">
        <f t="shared" si="9"/>
        <v>X</v>
      </c>
      <c r="I30" s="12">
        <f>IF(H30="X",30*0.05,"")</f>
        <v>1.5</v>
      </c>
      <c r="J30" s="12" t="str">
        <f t="shared" si="10"/>
        <v/>
      </c>
      <c r="K30" s="12" t="str">
        <f t="shared" si="11"/>
        <v/>
      </c>
    </row>
    <row r="31" spans="1:11" ht="24" customHeight="1">
      <c r="A31" s="57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10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57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14</v>
      </c>
      <c r="D32" s="12" t="str">
        <f>IF($C32=CL,"X","")</f>
        <v/>
      </c>
      <c r="E32" s="12" t="str">
        <f>IF(D32="X",100*0.1,"")</f>
        <v/>
      </c>
      <c r="F32" s="12" t="str">
        <f>IF($C32=L,"X","")</f>
        <v/>
      </c>
      <c r="G32" s="12" t="str">
        <f>IF(F32="X",60*0.1,"")</f>
        <v/>
      </c>
      <c r="H32" s="12" t="str">
        <f>IF($C32=ML,"X","")</f>
        <v>X</v>
      </c>
      <c r="I32" s="12">
        <f>IF(H32="X",30*0.1,"")</f>
        <v>3</v>
      </c>
      <c r="J32" s="12" t="str">
        <f>IF($C32=NL,"X","")</f>
        <v/>
      </c>
      <c r="K32" s="12" t="str">
        <f t="shared" si="11"/>
        <v/>
      </c>
    </row>
    <row r="33" spans="1:11" ht="24" customHeight="1">
      <c r="A33" s="55"/>
      <c r="B33" s="18" t="s">
        <v>15</v>
      </c>
      <c r="C33" s="22">
        <f>E33+G33+I33+K33</f>
        <v>47.5</v>
      </c>
      <c r="D33" s="13"/>
      <c r="E33" s="13">
        <f>SUM(E26:E32)</f>
        <v>25</v>
      </c>
      <c r="F33" s="13"/>
      <c r="G33" s="13">
        <f>SUM(G26:G32)</f>
        <v>0</v>
      </c>
      <c r="H33" s="13"/>
      <c r="I33" s="13">
        <f>SUM(I26:I32)</f>
        <v>22.5</v>
      </c>
      <c r="J33" s="13"/>
      <c r="K33" s="13">
        <f>SUM(K26:K32)</f>
        <v>0</v>
      </c>
    </row>
    <row r="34" spans="1:11" ht="24" customHeight="1">
      <c r="A34" s="56"/>
      <c r="B34" s="21" t="s">
        <v>16</v>
      </c>
      <c r="C34" s="14">
        <f>VLOOKUP(C33,ESCALA_IEP!A15:B215,2,FALSE)</f>
        <v>3.4</v>
      </c>
    </row>
    <row r="35" spans="1:11" ht="16.149999999999999" customHeight="1"/>
    <row r="36" spans="1:11" ht="13.9" customHeight="1"/>
    <row r="37" spans="1:11" ht="24" customHeight="1">
      <c r="A37" s="43" t="s">
        <v>6</v>
      </c>
      <c r="B37" s="11">
        <f>B6</f>
        <v>0</v>
      </c>
      <c r="C37" s="40" t="s">
        <v>7</v>
      </c>
      <c r="D37" s="41" t="s">
        <v>8</v>
      </c>
      <c r="E37" s="53"/>
      <c r="F37" s="53"/>
      <c r="G37" s="53"/>
      <c r="H37" s="53"/>
      <c r="I37" s="53"/>
      <c r="J37" s="53"/>
      <c r="K37" s="54"/>
    </row>
    <row r="38" spans="1:11" ht="24" customHeight="1">
      <c r="A38" s="55"/>
      <c r="B38" s="15" t="s">
        <v>9</v>
      </c>
      <c r="C38" s="56"/>
      <c r="D38" s="41" t="s">
        <v>10</v>
      </c>
      <c r="E38" s="54"/>
      <c r="F38" s="41" t="s">
        <v>11</v>
      </c>
      <c r="G38" s="54"/>
      <c r="H38" s="42" t="s">
        <v>12</v>
      </c>
      <c r="I38" s="54"/>
      <c r="J38" s="41" t="s">
        <v>13</v>
      </c>
      <c r="K38" s="54"/>
    </row>
    <row r="39" spans="1:11" ht="24" customHeight="1">
      <c r="A39" s="57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10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57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10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57"/>
      <c r="B41" s="19" t="str">
        <f>RUBRICA!A6</f>
        <v>3. Responde las preguntas realizadas por la comisión, cumpliendo con los estándares de calidad de la disciplina.</v>
      </c>
      <c r="C41" s="17" t="s">
        <v>10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57"/>
      <c r="B42" s="19" t="str">
        <f>RUBRICA!A7</f>
        <v>4. Expone el Proyecto APT, considerando el formato y el tiempo establecido para la presentación.</v>
      </c>
      <c r="C42" s="17" t="s">
        <v>10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57"/>
      <c r="B43" s="19" t="str">
        <f>RUBRICA!A8</f>
        <v>5. Expresa sus ideas con fluidez, claridad y precisión, utilizando lenguaje técnico propio de la disciplina.</v>
      </c>
      <c r="C43" s="17" t="s">
        <v>10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57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10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57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10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55"/>
      <c r="B46" s="18" t="s">
        <v>15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56"/>
      <c r="B47" s="21" t="s">
        <v>16</v>
      </c>
      <c r="C47" s="14">
        <f>VLOOKUP(C46,ESCALA_IEP!A28:B228,2,FALSE)</f>
        <v>7</v>
      </c>
    </row>
    <row r="48" spans="1:11" ht="15.75" customHeight="1"/>
    <row r="49" spans="1:11" ht="15.75" customHeight="1"/>
    <row r="50" spans="1:11" ht="24" customHeight="1">
      <c r="A50" s="39" t="s">
        <v>17</v>
      </c>
      <c r="B50" s="11" t="str">
        <f>B4</f>
        <v>CARLOS CATALAN</v>
      </c>
      <c r="C50" s="40" t="s">
        <v>7</v>
      </c>
      <c r="D50" s="41" t="s">
        <v>8</v>
      </c>
      <c r="E50" s="53"/>
      <c r="F50" s="53"/>
      <c r="G50" s="53"/>
      <c r="H50" s="53"/>
      <c r="I50" s="53"/>
      <c r="J50" s="53"/>
      <c r="K50" s="54"/>
    </row>
    <row r="51" spans="1:11" ht="24" customHeight="1">
      <c r="A51" s="55"/>
      <c r="B51" s="15" t="s">
        <v>9</v>
      </c>
      <c r="C51" s="56"/>
      <c r="D51" s="41" t="s">
        <v>10</v>
      </c>
      <c r="E51" s="54"/>
      <c r="F51" s="41" t="s">
        <v>11</v>
      </c>
      <c r="G51" s="54"/>
      <c r="H51" s="42" t="s">
        <v>12</v>
      </c>
      <c r="I51" s="54"/>
      <c r="J51" s="41" t="s">
        <v>13</v>
      </c>
      <c r="K51" s="54"/>
    </row>
    <row r="52" spans="1:11" ht="24" customHeight="1">
      <c r="A52" s="57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11</v>
      </c>
      <c r="D52" s="12" t="str">
        <f t="shared" ref="D52:D56" si="17">IF($C52=CL,"X","")</f>
        <v/>
      </c>
      <c r="E52" s="12" t="str">
        <f>IF(D52="X",100*0.15,"")</f>
        <v/>
      </c>
      <c r="F52" s="12" t="str">
        <f t="shared" ref="F52:F56" si="18">IF($C52=L,"X","")</f>
        <v>X</v>
      </c>
      <c r="G52" s="12">
        <f>IF(F52="X",60*0.15,"")</f>
        <v>9</v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57"/>
      <c r="B53" s="19" t="str">
        <f>RUBRICA!A5</f>
        <v xml:space="preserve">2. Presenta las evidencias del Proyecto APT, dando cuenta del cumplimiento de los objetivos y de acuerdo a los estándares de la disciplina. </v>
      </c>
      <c r="C53" s="52" t="s">
        <v>14</v>
      </c>
      <c r="D53" s="12" t="str">
        <f t="shared" si="17"/>
        <v/>
      </c>
      <c r="E53" s="12" t="str">
        <f>IF(D53="X",100*0.25,"")</f>
        <v/>
      </c>
      <c r="F53" s="12" t="str">
        <f t="shared" si="18"/>
        <v/>
      </c>
      <c r="G53" s="12" t="str">
        <f>IF(F53="X",60*0.25,"")</f>
        <v/>
      </c>
      <c r="H53" s="12" t="str">
        <f t="shared" si="19"/>
        <v>X</v>
      </c>
      <c r="I53" s="12">
        <f>IF(H53="X",30*0.25,"")</f>
        <v>7.5</v>
      </c>
      <c r="J53" s="12" t="str">
        <f t="shared" si="20"/>
        <v/>
      </c>
      <c r="K53" s="12" t="str">
        <f t="shared" si="21"/>
        <v/>
      </c>
    </row>
    <row r="54" spans="1:11" ht="24" customHeight="1">
      <c r="A54" s="57"/>
      <c r="B54" s="19" t="str">
        <f>RUBRICA!A6</f>
        <v>3. Responde las preguntas realizadas por la comisión, cumpliendo con los estándares de calidad de la disciplina.</v>
      </c>
      <c r="C54" s="17" t="s">
        <v>13</v>
      </c>
      <c r="D54" s="12" t="str">
        <f t="shared" si="17"/>
        <v/>
      </c>
      <c r="E54" s="12" t="str">
        <f>IF(D54="X",100*0.2,"")</f>
        <v/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>X</v>
      </c>
      <c r="K54" s="12">
        <f t="shared" si="21"/>
        <v>0</v>
      </c>
    </row>
    <row r="55" spans="1:11" ht="24" customHeight="1">
      <c r="A55" s="57"/>
      <c r="B55" s="19" t="str">
        <f>RUBRICA!A7</f>
        <v>4. Expone el Proyecto APT, considerando el formato y el tiempo establecido para la presentación.</v>
      </c>
      <c r="C55" s="17" t="s">
        <v>11</v>
      </c>
      <c r="D55" s="12" t="str">
        <f t="shared" si="17"/>
        <v/>
      </c>
      <c r="E55" s="12" t="str">
        <f>IF(D55="X",100*0.05,"")</f>
        <v/>
      </c>
      <c r="F55" s="12" t="str">
        <f t="shared" si="18"/>
        <v>X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57"/>
      <c r="B56" s="19" t="str">
        <f>RUBRICA!A8</f>
        <v>5. Expresa sus ideas con fluidez, claridad y precisión, utilizando lenguaje técnico propio de la disciplina.</v>
      </c>
      <c r="C56" s="17" t="s">
        <v>11</v>
      </c>
      <c r="D56" s="12" t="str">
        <f t="shared" si="17"/>
        <v/>
      </c>
      <c r="E56" s="12" t="str">
        <f>IF(D56="X",100*0.05,"")</f>
        <v/>
      </c>
      <c r="F56" s="12" t="str">
        <f t="shared" si="18"/>
        <v>X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57"/>
      <c r="B57" s="19" t="str">
        <f>RUBRICA!A9</f>
        <v>6. Entrega la documentación y evidencias requerida por la asignatura de acuerdo a la estructura y nombres solicitados, guardando todas las evidencias de avances en Git</v>
      </c>
      <c r="C57" s="52" t="s">
        <v>10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57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11</v>
      </c>
      <c r="D58" s="12" t="str">
        <f>IF($C58=CL,"X","")</f>
        <v/>
      </c>
      <c r="E58" s="12" t="str">
        <f>IF(D58="X",100*0.1,"")</f>
        <v/>
      </c>
      <c r="F58" s="12" t="str">
        <f>IF($C58=L,"X","")</f>
        <v>X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55"/>
      <c r="B59" s="18" t="s">
        <v>15</v>
      </c>
      <c r="C59" s="22">
        <f>E59+G59+I59+K59</f>
        <v>48.5</v>
      </c>
      <c r="D59" s="13"/>
      <c r="E59" s="13">
        <f>SUM(E52:E58)</f>
        <v>20</v>
      </c>
      <c r="F59" s="13"/>
      <c r="G59" s="13">
        <f>SUM(G52:G58)</f>
        <v>21</v>
      </c>
      <c r="H59" s="13"/>
      <c r="I59" s="13">
        <f>SUM(I52:I58)</f>
        <v>7.5</v>
      </c>
      <c r="J59" s="13"/>
      <c r="K59" s="13">
        <f>SUM(K52:K58)</f>
        <v>0</v>
      </c>
    </row>
    <row r="60" spans="1:11" ht="24" customHeight="1">
      <c r="A60" s="56"/>
      <c r="B60" s="21" t="s">
        <v>16</v>
      </c>
      <c r="C60" s="14">
        <f>VLOOKUP(C59,ESCALA_IEP!A41:B241,2,FALSE)</f>
        <v>3.4</v>
      </c>
    </row>
    <row r="61" spans="1:11" ht="15.75" customHeight="1"/>
    <row r="62" spans="1:11" ht="15.75" customHeight="1"/>
    <row r="63" spans="1:11" ht="24" customHeight="1">
      <c r="A63" s="39" t="s">
        <v>18</v>
      </c>
      <c r="B63" s="11" t="str">
        <f>B5</f>
        <v>SEBASTIAN SOLAR</v>
      </c>
      <c r="C63" s="40" t="s">
        <v>7</v>
      </c>
      <c r="D63" s="41" t="s">
        <v>8</v>
      </c>
      <c r="E63" s="53"/>
      <c r="F63" s="53"/>
      <c r="G63" s="53"/>
      <c r="H63" s="53"/>
      <c r="I63" s="53"/>
      <c r="J63" s="53"/>
      <c r="K63" s="54"/>
    </row>
    <row r="64" spans="1:11" ht="24" customHeight="1">
      <c r="A64" s="55"/>
      <c r="B64" s="15" t="s">
        <v>9</v>
      </c>
      <c r="C64" s="56"/>
      <c r="D64" s="41" t="s">
        <v>10</v>
      </c>
      <c r="E64" s="54"/>
      <c r="F64" s="41" t="s">
        <v>11</v>
      </c>
      <c r="G64" s="54"/>
      <c r="H64" s="42" t="s">
        <v>12</v>
      </c>
      <c r="I64" s="54"/>
      <c r="J64" s="41" t="s">
        <v>13</v>
      </c>
      <c r="K64" s="54"/>
    </row>
    <row r="65" spans="1:11" ht="24" customHeight="1">
      <c r="A65" s="57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11</v>
      </c>
      <c r="D65" s="12" t="str">
        <f t="shared" ref="D65:D69" si="22">IF($C65=CL,"X","")</f>
        <v/>
      </c>
      <c r="E65" s="12" t="str">
        <f>IF(D65="X",100*0.15,"")</f>
        <v/>
      </c>
      <c r="F65" s="12" t="str">
        <f t="shared" ref="F65:F69" si="23">IF($C65=L,"X","")</f>
        <v>X</v>
      </c>
      <c r="G65" s="12">
        <f>IF(F65="X",60*0.15,"")</f>
        <v>9</v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57"/>
      <c r="B66" s="19" t="str">
        <f>RUBRICA!A5</f>
        <v xml:space="preserve">2. Presenta las evidencias del Proyecto APT, dando cuenta del cumplimiento de los objetivos y de acuerdo a los estándares de la disciplina. </v>
      </c>
      <c r="C66" s="52" t="s">
        <v>14</v>
      </c>
      <c r="D66" s="12" t="str">
        <f t="shared" si="22"/>
        <v/>
      </c>
      <c r="E66" s="12" t="str">
        <f>IF(D66="X",100*0.25,"")</f>
        <v/>
      </c>
      <c r="F66" s="12" t="str">
        <f t="shared" si="23"/>
        <v/>
      </c>
      <c r="G66" s="12" t="str">
        <f>IF(F66="X",60*0.25,"")</f>
        <v/>
      </c>
      <c r="H66" s="12" t="str">
        <f t="shared" si="24"/>
        <v>X</v>
      </c>
      <c r="I66" s="12">
        <f>IF(H66="X",30*0.25,"")</f>
        <v>7.5</v>
      </c>
      <c r="J66" s="12" t="str">
        <f t="shared" si="25"/>
        <v/>
      </c>
      <c r="K66" s="12" t="str">
        <f t="shared" si="26"/>
        <v/>
      </c>
    </row>
    <row r="67" spans="1:11" ht="24" customHeight="1">
      <c r="A67" s="57"/>
      <c r="B67" s="19" t="str">
        <f>RUBRICA!A6</f>
        <v>3. Responde las preguntas realizadas por la comisión, cumpliendo con los estándares de calidad de la disciplina.</v>
      </c>
      <c r="C67" s="17" t="s">
        <v>13</v>
      </c>
      <c r="D67" s="12" t="str">
        <f t="shared" si="22"/>
        <v/>
      </c>
      <c r="E67" s="12" t="str">
        <f>IF(D67="X",100*0.2,"")</f>
        <v/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>X</v>
      </c>
      <c r="K67" s="12">
        <f t="shared" si="26"/>
        <v>0</v>
      </c>
    </row>
    <row r="68" spans="1:11" ht="24" customHeight="1">
      <c r="A68" s="57"/>
      <c r="B68" s="19" t="str">
        <f>RUBRICA!A7</f>
        <v>4. Expone el Proyecto APT, considerando el formato y el tiempo establecido para la presentación.</v>
      </c>
      <c r="C68" s="17" t="s">
        <v>11</v>
      </c>
      <c r="D68" s="12" t="str">
        <f t="shared" si="22"/>
        <v/>
      </c>
      <c r="E68" s="12" t="str">
        <f>IF(D68="X",100*0.05,"")</f>
        <v/>
      </c>
      <c r="F68" s="12" t="str">
        <f t="shared" si="23"/>
        <v>X</v>
      </c>
      <c r="G68" s="12">
        <f>IF(F68="X",60*0.05,"")</f>
        <v>3</v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57"/>
      <c r="B69" s="19" t="str">
        <f>RUBRICA!A8</f>
        <v>5. Expresa sus ideas con fluidez, claridad y precisión, utilizando lenguaje técnico propio de la disciplina.</v>
      </c>
      <c r="C69" s="17" t="s">
        <v>11</v>
      </c>
      <c r="D69" s="12" t="str">
        <f t="shared" si="22"/>
        <v/>
      </c>
      <c r="E69" s="12" t="str">
        <f>IF(D69="X",100*0.05,"")</f>
        <v/>
      </c>
      <c r="F69" s="12" t="str">
        <f t="shared" si="23"/>
        <v>X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57"/>
      <c r="B70" s="19" t="str">
        <f>RUBRICA!A9</f>
        <v>6. Entrega la documentación y evidencias requerida por la asignatura de acuerdo a la estructura y nombres solicitados, guardando todas las evidencias de avances en Git</v>
      </c>
      <c r="C70" s="52" t="s">
        <v>10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57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11</v>
      </c>
      <c r="D71" s="12" t="str">
        <f>IF($C71=CL,"X","")</f>
        <v/>
      </c>
      <c r="E71" s="12" t="str">
        <f>IF(D71="X",100*0.1,"")</f>
        <v/>
      </c>
      <c r="F71" s="12" t="str">
        <f>IF($C71=L,"X","")</f>
        <v>X</v>
      </c>
      <c r="G71" s="12">
        <f>IF(F71="X",60*0.1,"")</f>
        <v>6</v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>
      <c r="A72" s="55"/>
      <c r="B72" s="18" t="s">
        <v>15</v>
      </c>
      <c r="C72" s="22">
        <f>E72+G72+I72+K72</f>
        <v>48.5</v>
      </c>
      <c r="D72" s="13"/>
      <c r="E72" s="13">
        <f>SUM(E65:E71)</f>
        <v>20</v>
      </c>
      <c r="F72" s="13"/>
      <c r="G72" s="13">
        <f>SUM(G65:G71)</f>
        <v>21</v>
      </c>
      <c r="H72" s="13"/>
      <c r="I72" s="13">
        <f>SUM(I65:I71)</f>
        <v>7.5</v>
      </c>
      <c r="J72" s="13"/>
      <c r="K72" s="13">
        <f>SUM(K65:K71)</f>
        <v>0</v>
      </c>
    </row>
    <row r="73" spans="1:11" ht="24" customHeight="1">
      <c r="A73" s="56"/>
      <c r="B73" s="21" t="s">
        <v>16</v>
      </c>
      <c r="C73" s="14">
        <f>VLOOKUP(C72,ESCALA_IEP!A54:B254,2,FALSE)</f>
        <v>3.4</v>
      </c>
    </row>
    <row r="74" spans="1:11" ht="15.75" customHeight="1"/>
    <row r="75" spans="1:11" ht="15.75" customHeight="1"/>
    <row r="76" spans="1:11" ht="24" customHeight="1">
      <c r="A76" s="39" t="s">
        <v>19</v>
      </c>
      <c r="B76" s="11">
        <f>B6</f>
        <v>0</v>
      </c>
      <c r="C76" s="40" t="s">
        <v>7</v>
      </c>
      <c r="D76" s="41" t="s">
        <v>8</v>
      </c>
      <c r="E76" s="53"/>
      <c r="F76" s="53"/>
      <c r="G76" s="53"/>
      <c r="H76" s="53"/>
      <c r="I76" s="53"/>
      <c r="J76" s="53"/>
      <c r="K76" s="54"/>
    </row>
    <row r="77" spans="1:11" ht="24" customHeight="1">
      <c r="A77" s="55"/>
      <c r="B77" s="15" t="s">
        <v>9</v>
      </c>
      <c r="C77" s="56"/>
      <c r="D77" s="41" t="s">
        <v>10</v>
      </c>
      <c r="E77" s="54"/>
      <c r="F77" s="41" t="s">
        <v>11</v>
      </c>
      <c r="G77" s="54"/>
      <c r="H77" s="42" t="s">
        <v>12</v>
      </c>
      <c r="I77" s="54"/>
      <c r="J77" s="41" t="s">
        <v>13</v>
      </c>
      <c r="K77" s="54"/>
    </row>
    <row r="78" spans="1:11" ht="24" customHeight="1">
      <c r="A78" s="57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10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57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10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57"/>
      <c r="B80" s="19" t="str">
        <f>RUBRICA!A6</f>
        <v>3. Responde las preguntas realizadas por la comisión, cumpliendo con los estándares de calidad de la disciplina.</v>
      </c>
      <c r="C80" s="17" t="s">
        <v>10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>
      <c r="A81" s="57"/>
      <c r="B81" s="19" t="str">
        <f>RUBRICA!A7</f>
        <v>4. Expone el Proyecto APT, considerando el formato y el tiempo establecido para la presentación.</v>
      </c>
      <c r="C81" s="17" t="s">
        <v>10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57"/>
      <c r="B82" s="19" t="str">
        <f>RUBRICA!A8</f>
        <v>5. Expresa sus ideas con fluidez, claridad y precisión, utilizando lenguaje técnico propio de la disciplina.</v>
      </c>
      <c r="C82" s="17" t="s">
        <v>10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57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10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57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10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>
      <c r="A85" s="55"/>
      <c r="B85" s="18" t="s">
        <v>15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>
      <c r="A86" s="56"/>
      <c r="B86" s="21" t="s">
        <v>16</v>
      </c>
      <c r="C86" s="14">
        <f>VLOOKUP(C85,ESCALA_IEP!A67:B267,2,FALSE)</f>
        <v>7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defaultColWidth="11.42578125" defaultRowHeight="14.4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" thickBot="1">
      <c r="A1" s="44" t="s">
        <v>20</v>
      </c>
      <c r="B1" s="46" t="s">
        <v>21</v>
      </c>
      <c r="C1" s="47"/>
      <c r="D1" s="47"/>
      <c r="E1" s="48"/>
      <c r="F1" s="44" t="s">
        <v>22</v>
      </c>
    </row>
    <row r="2" spans="1:6">
      <c r="A2" s="45"/>
      <c r="B2" s="49" t="s">
        <v>23</v>
      </c>
      <c r="C2" s="49" t="s">
        <v>24</v>
      </c>
      <c r="D2" s="25" t="s">
        <v>25</v>
      </c>
      <c r="E2" s="26" t="s">
        <v>13</v>
      </c>
      <c r="F2" s="45"/>
    </row>
    <row r="3" spans="1:6">
      <c r="A3" s="45"/>
      <c r="B3" s="50"/>
      <c r="C3" s="50"/>
      <c r="D3" s="27">
        <v>0.3</v>
      </c>
      <c r="E3" s="27">
        <v>0</v>
      </c>
      <c r="F3" s="45"/>
    </row>
    <row r="4" spans="1:6" ht="110.45">
      <c r="A4" s="23" t="s">
        <v>26</v>
      </c>
      <c r="B4" s="23" t="s">
        <v>27</v>
      </c>
      <c r="C4" s="23" t="s">
        <v>28</v>
      </c>
      <c r="D4" s="23" t="s">
        <v>29</v>
      </c>
      <c r="E4" s="23" t="s">
        <v>30</v>
      </c>
      <c r="F4" s="28">
        <v>15</v>
      </c>
    </row>
    <row r="5" spans="1:6" ht="136.9" customHeight="1">
      <c r="A5" s="23" t="s">
        <v>31</v>
      </c>
      <c r="B5" s="23" t="s">
        <v>32</v>
      </c>
      <c r="C5" s="23" t="s">
        <v>33</v>
      </c>
      <c r="D5" s="23" t="s">
        <v>34</v>
      </c>
      <c r="E5" s="23" t="s">
        <v>35</v>
      </c>
      <c r="F5" s="28">
        <v>25</v>
      </c>
    </row>
    <row r="6" spans="1:6" ht="87" customHeight="1">
      <c r="A6" s="23" t="s">
        <v>36</v>
      </c>
      <c r="B6" s="23" t="s">
        <v>37</v>
      </c>
      <c r="C6" s="23" t="s">
        <v>38</v>
      </c>
      <c r="D6" s="23" t="s">
        <v>39</v>
      </c>
      <c r="E6" s="23" t="s">
        <v>40</v>
      </c>
      <c r="F6" s="28">
        <v>20</v>
      </c>
    </row>
    <row r="7" spans="1:6" ht="96.6">
      <c r="A7" s="23" t="s">
        <v>41</v>
      </c>
      <c r="B7" s="23" t="s">
        <v>42</v>
      </c>
      <c r="C7" s="23" t="s">
        <v>43</v>
      </c>
      <c r="D7" s="23" t="s">
        <v>44</v>
      </c>
      <c r="E7" s="23" t="s">
        <v>45</v>
      </c>
      <c r="F7" s="28">
        <v>5</v>
      </c>
    </row>
    <row r="8" spans="1:6" ht="96.6">
      <c r="A8" s="23" t="s">
        <v>46</v>
      </c>
      <c r="B8" s="23" t="s">
        <v>47</v>
      </c>
      <c r="C8" s="23" t="s">
        <v>48</v>
      </c>
      <c r="D8" s="23" t="s">
        <v>49</v>
      </c>
      <c r="E8" s="23" t="s">
        <v>50</v>
      </c>
      <c r="F8" s="28">
        <v>5</v>
      </c>
    </row>
    <row r="9" spans="1:6" ht="96.6">
      <c r="A9" s="23" t="s">
        <v>51</v>
      </c>
      <c r="B9" s="23" t="s">
        <v>52</v>
      </c>
      <c r="C9" s="23" t="s">
        <v>53</v>
      </c>
      <c r="D9" s="23" t="s">
        <v>54</v>
      </c>
      <c r="E9" s="23" t="s">
        <v>55</v>
      </c>
      <c r="F9" s="24">
        <v>20</v>
      </c>
    </row>
    <row r="10" spans="1:6" ht="126" customHeight="1">
      <c r="A10" s="23" t="s">
        <v>56</v>
      </c>
      <c r="B10" s="23" t="s">
        <v>57</v>
      </c>
      <c r="C10" s="23" t="s">
        <v>58</v>
      </c>
      <c r="D10" s="23" t="s">
        <v>59</v>
      </c>
      <c r="E10" s="23" t="s">
        <v>60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</v>
      </c>
    </row>
    <row r="4" spans="1:2" ht="14.45">
      <c r="A4">
        <v>1</v>
      </c>
      <c r="B4">
        <v>1.1000000000000001</v>
      </c>
    </row>
    <row r="5" spans="1:2" ht="14.45">
      <c r="A5">
        <v>1.5</v>
      </c>
      <c r="B5">
        <v>1.1000000000000001</v>
      </c>
    </row>
    <row r="6" spans="1:2" ht="14.45">
      <c r="A6">
        <v>2</v>
      </c>
      <c r="B6">
        <v>1.1000000000000001</v>
      </c>
    </row>
    <row r="7" spans="1:2" ht="14.45">
      <c r="A7">
        <v>2.5</v>
      </c>
      <c r="B7">
        <v>1.1000000000000001</v>
      </c>
    </row>
    <row r="8" spans="1:2" ht="14.45">
      <c r="A8">
        <v>3</v>
      </c>
      <c r="B8">
        <v>1.2</v>
      </c>
    </row>
    <row r="9" spans="1:2" ht="14.45">
      <c r="A9">
        <v>3.5</v>
      </c>
      <c r="B9">
        <v>1.2</v>
      </c>
    </row>
    <row r="10" spans="1:2" ht="14.45">
      <c r="A10">
        <v>4</v>
      </c>
      <c r="B10">
        <v>1.2</v>
      </c>
    </row>
    <row r="11" spans="1:2" ht="14.45">
      <c r="A11">
        <v>4.5</v>
      </c>
      <c r="B11">
        <v>1.2</v>
      </c>
    </row>
    <row r="12" spans="1:2" ht="14.45">
      <c r="A12">
        <v>5</v>
      </c>
      <c r="B12">
        <v>1.3</v>
      </c>
    </row>
    <row r="13" spans="1:2" ht="14.45">
      <c r="A13">
        <v>5.5</v>
      </c>
      <c r="B13">
        <v>1.3</v>
      </c>
    </row>
    <row r="14" spans="1:2" ht="14.45">
      <c r="A14">
        <v>6</v>
      </c>
      <c r="B14">
        <v>1.3</v>
      </c>
    </row>
    <row r="15" spans="1:2" ht="14.45">
      <c r="A15">
        <v>6.5</v>
      </c>
      <c r="B15">
        <v>1.3</v>
      </c>
    </row>
    <row r="16" spans="1:2" ht="14.45">
      <c r="A16">
        <v>7</v>
      </c>
      <c r="B16">
        <v>1.4</v>
      </c>
    </row>
    <row r="17" spans="1:2" ht="14.45">
      <c r="A17">
        <v>7.5</v>
      </c>
      <c r="B17">
        <v>1.4</v>
      </c>
    </row>
    <row r="18" spans="1:2" ht="14.45">
      <c r="A18">
        <v>8</v>
      </c>
      <c r="B18">
        <v>1.4</v>
      </c>
    </row>
    <row r="19" spans="1:2" ht="14.45">
      <c r="A19">
        <v>8.5</v>
      </c>
      <c r="B19">
        <v>1.4</v>
      </c>
    </row>
    <row r="20" spans="1:2" ht="14.45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2" ht="14.45">
      <c r="A1" t="s">
        <v>61</v>
      </c>
      <c r="B1" t="s">
        <v>62</v>
      </c>
    </row>
    <row r="2" spans="1:2" ht="14.45">
      <c r="A2">
        <v>0</v>
      </c>
      <c r="B2" s="1">
        <v>1</v>
      </c>
    </row>
    <row r="3" spans="1:2" ht="14.45">
      <c r="A3">
        <v>1</v>
      </c>
      <c r="B3" s="1">
        <v>1.1000000000000001</v>
      </c>
    </row>
    <row r="4" spans="1:2" ht="14.45">
      <c r="A4">
        <v>2</v>
      </c>
      <c r="B4" s="1">
        <v>1.2</v>
      </c>
    </row>
    <row r="5" spans="1:2" ht="14.45">
      <c r="A5">
        <v>3</v>
      </c>
      <c r="B5" s="1">
        <v>1.3</v>
      </c>
    </row>
    <row r="6" spans="1:2" ht="14.45">
      <c r="A6">
        <v>4</v>
      </c>
      <c r="B6" s="1">
        <v>1.4</v>
      </c>
    </row>
    <row r="7" spans="1:2" ht="14.45">
      <c r="A7">
        <v>5</v>
      </c>
      <c r="B7" s="1">
        <v>1.5</v>
      </c>
    </row>
    <row r="8" spans="1:2" ht="14.45">
      <c r="A8">
        <v>6</v>
      </c>
      <c r="B8" s="1">
        <v>1.6</v>
      </c>
    </row>
    <row r="9" spans="1:2" ht="14.45">
      <c r="A9">
        <v>7</v>
      </c>
      <c r="B9" s="1">
        <v>1.7</v>
      </c>
    </row>
    <row r="10" spans="1:2" ht="14.45">
      <c r="A10">
        <v>8</v>
      </c>
      <c r="B10" s="1">
        <v>1.8</v>
      </c>
    </row>
    <row r="11" spans="1:2" ht="14.45">
      <c r="A11">
        <v>9</v>
      </c>
      <c r="B11" s="1">
        <v>1.9</v>
      </c>
    </row>
    <row r="12" spans="1:2" ht="14.45">
      <c r="A12">
        <v>10</v>
      </c>
      <c r="B12" s="1">
        <v>2</v>
      </c>
    </row>
    <row r="13" spans="1:2" ht="14.45">
      <c r="A13">
        <v>11</v>
      </c>
      <c r="B13" s="1">
        <v>2.1</v>
      </c>
    </row>
    <row r="14" spans="1:2" ht="14.45">
      <c r="A14">
        <v>12</v>
      </c>
      <c r="B14" s="1">
        <v>2.2000000000000002</v>
      </c>
    </row>
    <row r="15" spans="1:2" ht="14.45">
      <c r="A15">
        <v>13</v>
      </c>
      <c r="B15" s="1">
        <v>2.2999999999999998</v>
      </c>
    </row>
    <row r="16" spans="1:2" ht="14.45">
      <c r="A16">
        <v>14</v>
      </c>
      <c r="B16" s="1">
        <v>2.2999999999999998</v>
      </c>
    </row>
    <row r="17" spans="1:2" ht="14.45">
      <c r="A17">
        <v>15</v>
      </c>
      <c r="B17" s="1">
        <v>2.4</v>
      </c>
    </row>
    <row r="18" spans="1:2" ht="14.45">
      <c r="A18">
        <v>16</v>
      </c>
      <c r="B18" s="1">
        <v>2.5</v>
      </c>
    </row>
    <row r="19" spans="1:2" ht="14.45">
      <c r="A19">
        <v>17</v>
      </c>
      <c r="B19" s="1">
        <v>2.6</v>
      </c>
    </row>
    <row r="20" spans="1:2" ht="14.45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1.1000000000000001</v>
      </c>
    </row>
    <row r="4" spans="1:2" ht="14.45">
      <c r="A4">
        <v>1</v>
      </c>
      <c r="B4">
        <v>1.3</v>
      </c>
    </row>
    <row r="5" spans="1:2" ht="14.45">
      <c r="A5">
        <v>1.5</v>
      </c>
      <c r="B5">
        <v>1.4</v>
      </c>
    </row>
    <row r="6" spans="1:2" ht="14.45">
      <c r="A6">
        <v>2</v>
      </c>
      <c r="B6">
        <v>1.5</v>
      </c>
    </row>
    <row r="7" spans="1:2" ht="14.45">
      <c r="A7">
        <v>2.5</v>
      </c>
      <c r="B7">
        <v>1.6</v>
      </c>
    </row>
    <row r="8" spans="1:2" ht="14.45">
      <c r="A8">
        <v>3</v>
      </c>
      <c r="B8">
        <v>1.8</v>
      </c>
    </row>
    <row r="9" spans="1:2" ht="14.45">
      <c r="A9">
        <v>3.5</v>
      </c>
      <c r="B9">
        <v>1.9</v>
      </c>
    </row>
    <row r="10" spans="1:2" ht="14.45">
      <c r="A10">
        <v>4</v>
      </c>
      <c r="B10">
        <v>2</v>
      </c>
    </row>
    <row r="11" spans="1:2" ht="14.45">
      <c r="A11">
        <v>4.5</v>
      </c>
      <c r="B11">
        <v>2.1</v>
      </c>
    </row>
    <row r="12" spans="1:2" ht="14.45">
      <c r="A12">
        <v>5</v>
      </c>
      <c r="B12">
        <v>2.2999999999999998</v>
      </c>
    </row>
    <row r="13" spans="1:2" ht="14.45">
      <c r="A13">
        <v>5.5</v>
      </c>
      <c r="B13">
        <v>2.4</v>
      </c>
    </row>
    <row r="14" spans="1:2" ht="14.45">
      <c r="A14">
        <v>6</v>
      </c>
      <c r="B14">
        <v>2.5</v>
      </c>
    </row>
    <row r="15" spans="1:2" ht="14.45">
      <c r="A15">
        <v>6.5</v>
      </c>
      <c r="B15">
        <v>2.6</v>
      </c>
    </row>
    <row r="16" spans="1:2" ht="14.45">
      <c r="A16">
        <v>7</v>
      </c>
      <c r="B16">
        <v>2.8</v>
      </c>
    </row>
    <row r="17" spans="1:2" ht="14.45">
      <c r="A17">
        <v>7.5</v>
      </c>
      <c r="B17">
        <v>2.9</v>
      </c>
    </row>
    <row r="18" spans="1:2" ht="14.45">
      <c r="A18">
        <v>8</v>
      </c>
      <c r="B18">
        <v>3</v>
      </c>
    </row>
    <row r="19" spans="1:2" ht="14.45">
      <c r="A19">
        <v>8.5</v>
      </c>
      <c r="B19">
        <v>3.1</v>
      </c>
    </row>
    <row r="20" spans="1:2" ht="14.45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defaultColWidth="14.42578125" defaultRowHeight="15" customHeight="1"/>
  <cols>
    <col min="1" max="25" width="10.7109375" customWidth="1"/>
  </cols>
  <sheetData>
    <row r="1" spans="1:5" ht="14.45">
      <c r="A1" s="51" t="s">
        <v>63</v>
      </c>
      <c r="B1" s="4" t="s">
        <v>15</v>
      </c>
      <c r="C1" s="5"/>
      <c r="D1" s="5"/>
      <c r="E1" s="6"/>
    </row>
    <row r="2" spans="1:5" ht="43.9" thickBot="1">
      <c r="A2" s="58"/>
      <c r="B2" s="7" t="s">
        <v>10</v>
      </c>
      <c r="C2" s="8" t="s">
        <v>11</v>
      </c>
      <c r="D2" s="20" t="s">
        <v>14</v>
      </c>
      <c r="E2" s="38" t="s">
        <v>13</v>
      </c>
    </row>
    <row r="3" spans="1:5" ht="29.45" thickBot="1">
      <c r="A3" s="9" t="s">
        <v>64</v>
      </c>
      <c r="B3" s="10">
        <v>4</v>
      </c>
      <c r="C3" s="10">
        <v>3</v>
      </c>
      <c r="D3" s="10">
        <v>2</v>
      </c>
      <c r="E3" s="10">
        <v>0</v>
      </c>
    </row>
    <row r="4" spans="1:5" thickBot="1">
      <c r="A4" s="9"/>
      <c r="B4" s="10"/>
      <c r="C4" s="10"/>
      <c r="D4" s="10"/>
      <c r="E4" s="10"/>
    </row>
    <row r="5" spans="1: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Juan pablo Mellado Alarcon</cp:lastModifiedBy>
  <cp:revision/>
  <dcterms:created xsi:type="dcterms:W3CDTF">2023-08-07T04:08:01Z</dcterms:created>
  <dcterms:modified xsi:type="dcterms:W3CDTF">2025-12-11T19:28:03Z</dcterms:modified>
  <cp:category/>
  <cp:contentStatus/>
</cp:coreProperties>
</file>