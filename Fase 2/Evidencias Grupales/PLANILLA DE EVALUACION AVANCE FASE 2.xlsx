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41" documentId="8_{2EFDF332-31E9-4C74-A6B5-E695634C1C45}" xr6:coauthVersionLast="47" xr6:coauthVersionMax="47" xr10:uidLastSave="{4E4FC39E-2A9B-43E1-BACB-C1AF836A5980}"/>
  <bookViews>
    <workbookView xWindow="-108" yWindow="-108" windowWidth="23256" windowHeight="12456" firstSheet="1"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<sst xmlns="http://schemas.openxmlformats.org/spreadsheetml/2006/main" count="82" uniqueCount="64">
  <si>
    <t>INTEGRANTES</t>
  </si>
  <si>
    <t>GRUPAL</t>
  </si>
  <si>
    <t>CARLOS CATALAN</t>
  </si>
  <si>
    <t>SEBASTIAN SOLAR</t>
  </si>
  <si>
    <t>Nivel de Logro</t>
  </si>
  <si>
    <t>NIVELES DE LOGRO Y PUNTAJES</t>
  </si>
  <si>
    <t>Aspectos a Evaluar</t>
  </si>
  <si>
    <t>Completamente logrado</t>
  </si>
  <si>
    <t>Logrado</t>
  </si>
  <si>
    <t>Logro Incipiente</t>
  </si>
  <si>
    <t>No logrado</t>
  </si>
  <si>
    <t>Logro incipiente</t>
  </si>
  <si>
    <t>Puntaje</t>
  </si>
  <si>
    <t>Nota</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</si>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</sst>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zoomScaleNormal="100" workbookViewId="0">
      <selection activeCell="D9" sqref="D9"/>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1</v>
      </c>
    </row>
    <row r="3" spans="1:11" ht="14.45">
      <c r="B3" s="3" t="s">
        <v>0</v>
      </c>
      <c r="C3" s="32" t="s">
        <v>1</v>
      </c>
    </row>
    <row r="4" spans="1:11" ht="14.45">
      <c r="A4" s="4">
        <v>1</v>
      </c>
      <c r="B4" s="24" t="s">
        <v>2</v>
      </c>
      <c r="C4" s="5">
        <f>EVALUACION2!$C$22</f>
        <v>4</v>
      </c>
      <c r="G4" s="1"/>
    </row>
    <row r="5" spans="1:11" ht="14.45">
      <c r="A5" s="4">
        <v>2</v>
      </c>
      <c r="B5" s="24" t="s">
        <v>3</v>
      </c>
      <c r="C5" s="5">
        <f>EVALUACION2!$C$22</f>
        <v>4</v>
      </c>
      <c r="G5" s="1"/>
    </row>
    <row r="6" spans="1:11" ht="14.45">
      <c r="A6" s="4">
        <v>3</v>
      </c>
      <c r="B6" s="24"/>
      <c r="C6" s="5">
        <f>EVALUACION2!$C$22</f>
        <v>4</v>
      </c>
      <c r="G6" s="1"/>
    </row>
    <row r="11" spans="1:11" ht="18" outlineLevel="1">
      <c r="A11" s="40" t="s">
        <v>1</v>
      </c>
      <c r="B11" s="13"/>
      <c r="C11" s="41" t="s">
        <v>4</v>
      </c>
      <c r="D11" s="42" t="s">
        <v>5</v>
      </c>
      <c r="E11" s="53"/>
      <c r="F11" s="53"/>
      <c r="G11" s="53"/>
      <c r="H11" s="53"/>
      <c r="I11" s="53"/>
      <c r="J11" s="53"/>
      <c r="K11" s="54"/>
    </row>
    <row r="12" spans="1:11" ht="14.45" outlineLevel="1">
      <c r="A12" s="55"/>
      <c r="B12" s="19" t="s">
        <v>6</v>
      </c>
      <c r="C12" s="56"/>
      <c r="D12" s="42" t="s">
        <v>7</v>
      </c>
      <c r="E12" s="54"/>
      <c r="F12" s="42" t="s">
        <v>8</v>
      </c>
      <c r="G12" s="54"/>
      <c r="H12" s="43" t="s">
        <v>9</v>
      </c>
      <c r="I12" s="54"/>
      <c r="J12" s="42" t="s">
        <v>10</v>
      </c>
      <c r="K12" s="54"/>
    </row>
    <row r="13" spans="1:11" ht="24" outlineLevel="1">
      <c r="A13" s="57"/>
      <c r="B13" s="27" t="str">
        <f>RUBRICA!A4</f>
        <v xml:space="preserve">1. Propone ajustes al Proyecto APT considerando dificultades, facilitadores y retroalimentación. </v>
      </c>
      <c r="C13" s="25" t="s">
        <v>8</v>
      </c>
      <c r="D13" s="14" t="str">
        <f t="shared" ref="D13:D17" si="0">IF($C13=CL,"X","")</f>
        <v/>
      </c>
      <c r="E13" s="14" t="str">
        <f>IF(D13="X",100*0.1,"")</f>
        <v/>
      </c>
      <c r="F13" s="14" t="str">
        <f t="shared" ref="F13:F17" si="1">IF($C13=L,"X","")</f>
        <v>X</v>
      </c>
      <c r="G13" s="14">
        <f>IF(F13="X",60*0.1,"")</f>
        <v>6</v>
      </c>
      <c r="H13" s="14" t="str">
        <f t="shared" ref="H13:H17" si="2">IF($C13=ML,"X","")</f>
        <v/>
      </c>
      <c r="I13" s="14" t="str">
        <f>IF(H13="X",30*0.1,"")</f>
        <v/>
      </c>
      <c r="J13" s="14" t="str">
        <f t="shared" ref="J13:J17" si="3">IF($C13=NL,"X","")</f>
        <v/>
      </c>
      <c r="K13" s="14" t="str">
        <f t="shared" ref="K13:K17" si="4">IF($J13="X",0,"")</f>
        <v/>
      </c>
    </row>
    <row r="14" spans="1:11" ht="26.45" customHeight="1" outlineLevel="1">
      <c r="A14" s="57"/>
      <c r="B14" s="27" t="str">
        <f>RUBRICA!A5</f>
        <v>2. Aplica una metodología que permite el logro de los objetivos propuestos, de acuerdo a los estándares de la disciplina.</v>
      </c>
      <c r="C14" s="25" t="s">
        <v>11</v>
      </c>
      <c r="D14" s="14" t="str">
        <f t="shared" si="0"/>
        <v/>
      </c>
      <c r="E14" s="14" t="str">
        <f>IF(D14="X",100*0.1,"")</f>
        <v/>
      </c>
      <c r="F14" s="14" t="str">
        <f t="shared" si="1"/>
        <v/>
      </c>
      <c r="G14" s="14" t="str">
        <f>IF(F14="X",60*0.1,"")</f>
        <v/>
      </c>
      <c r="H14" s="14" t="str">
        <f t="shared" si="2"/>
        <v>X</v>
      </c>
      <c r="I14" s="14">
        <f>IF(H14="X",30*0.1,"")</f>
        <v>3</v>
      </c>
      <c r="J14" s="14" t="str">
        <f t="shared" si="3"/>
        <v/>
      </c>
      <c r="K14" s="14" t="str">
        <f t="shared" si="4"/>
        <v/>
      </c>
    </row>
    <row r="15" spans="1:11" ht="36" outlineLevel="1">
      <c r="A15" s="57"/>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11</v>
      </c>
      <c r="D15" s="14" t="str">
        <f t="shared" si="0"/>
        <v/>
      </c>
      <c r="E15" s="14" t="str">
        <f>IF(D15="X",100*0.25,"")</f>
        <v/>
      </c>
      <c r="F15" s="14" t="str">
        <f t="shared" si="1"/>
        <v/>
      </c>
      <c r="G15" s="14" t="str">
        <f>IF(F15="X",60*0.25,"")</f>
        <v/>
      </c>
      <c r="H15" s="14" t="str">
        <f t="shared" si="2"/>
        <v>X</v>
      </c>
      <c r="I15" s="14">
        <f>IF(H15="X",30*0.25,"")</f>
        <v>7.5</v>
      </c>
      <c r="J15" s="14" t="str">
        <f t="shared" si="3"/>
        <v/>
      </c>
      <c r="K15" s="14" t="str">
        <f t="shared" si="4"/>
        <v/>
      </c>
    </row>
    <row r="16" spans="1:11" ht="24" outlineLevel="1">
      <c r="A16" s="57"/>
      <c r="B16" s="27" t="str">
        <f>RUBRICA!A7</f>
        <v>4. Utiliza de manera precisa el lenguaje técnico en los entregables de acuerdo con lo requerido por la disciplina.</v>
      </c>
      <c r="C16" s="25" t="s">
        <v>8</v>
      </c>
      <c r="D16" s="14" t="str">
        <f t="shared" si="0"/>
        <v/>
      </c>
      <c r="E16" s="14" t="str">
        <f>IF(D16="X",100*0.05,"")</f>
        <v/>
      </c>
      <c r="F16" s="14" t="str">
        <f t="shared" si="1"/>
        <v>X</v>
      </c>
      <c r="G16" s="14">
        <f>IF(F16="X",60*0.05,"")</f>
        <v>3</v>
      </c>
      <c r="H16" s="14" t="str">
        <f t="shared" si="2"/>
        <v/>
      </c>
      <c r="I16" s="14" t="str">
        <f>IF(H16="X",30*0.05,"")</f>
        <v/>
      </c>
      <c r="J16" s="14" t="str">
        <f t="shared" si="3"/>
        <v/>
      </c>
      <c r="K16" s="14" t="str">
        <f t="shared" si="4"/>
        <v/>
      </c>
    </row>
    <row r="17" spans="1:11" ht="24" outlineLevel="1">
      <c r="A17" s="57"/>
      <c r="B17" s="27" t="str">
        <f>RUBRICA!A8</f>
        <v xml:space="preserve">5. Utiliza reglas de redacción, ortografía (literal, puntual, acentual) y las normas para citas y referencias. </v>
      </c>
      <c r="C17" s="25" t="s">
        <v>7</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4" outlineLevel="1">
      <c r="A18" s="57"/>
      <c r="B18" s="27" t="str">
        <f>RUBRICA!A9</f>
        <v>6. Entrega la documentación y evidencias requerida por la asignatura de acuerdo a la estrucutra y nombres solicitados, guardando todas las evidencias de avances en Git</v>
      </c>
      <c r="C18" s="25" t="s">
        <v>7</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57"/>
      <c r="B19" s="27" t="str">
        <f>RUBRICA!A10</f>
        <v>7.- Generan evidencias claras dentro del repositorio  del aporte de cada uno de los integrantes del equipo que permitan identificar la equidad en el trabajo y la participación de cada estudiante.</v>
      </c>
      <c r="C19" s="25" t="s">
        <v>8</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57"/>
      <c r="B20" s="27" t="str">
        <f>RUBRICA!A11</f>
        <v>8. Demuestra un trabajo en equipo en donde todos los miembros del equipo expresan con fluidez el conocimiento del tema expuesto y  participan de las actividades planificadas en el proyecto</v>
      </c>
      <c r="C20" s="25" t="s">
        <v>8</v>
      </c>
      <c r="D20" s="14" t="str">
        <f>IF($C20=CL,"X","")</f>
        <v/>
      </c>
      <c r="E20" s="14" t="str">
        <f>IF(D20="X",100*0.1,"")</f>
        <v/>
      </c>
      <c r="F20" s="14" t="str">
        <f>IF($C20=L,"X","")</f>
        <v>X</v>
      </c>
      <c r="G20" s="14">
        <f>IF(F20="X",60*0.1,"")</f>
        <v>6</v>
      </c>
      <c r="H20" s="14" t="str">
        <f>IF($C20=ML,"X","")</f>
        <v/>
      </c>
      <c r="I20" s="14" t="str">
        <f>IF(H20="X",30*0.1,"")</f>
        <v/>
      </c>
      <c r="J20" s="14" t="str">
        <f>IF($C20=NL,"X","")</f>
        <v/>
      </c>
      <c r="K20" s="14" t="str">
        <f t="shared" si="5"/>
        <v/>
      </c>
    </row>
    <row r="21" spans="1:11" ht="15.75" customHeight="1" outlineLevel="1">
      <c r="A21" s="55"/>
      <c r="B21" s="26" t="s">
        <v>12</v>
      </c>
      <c r="C21" s="30">
        <f>E21+G21+I21+K21</f>
        <v>59.5</v>
      </c>
      <c r="D21" s="15"/>
      <c r="E21" s="15">
        <f>SUM(E13:E20)</f>
        <v>25</v>
      </c>
      <c r="F21" s="15"/>
      <c r="G21" s="15">
        <f>SUM(G13:G20)</f>
        <v>24</v>
      </c>
      <c r="H21" s="15"/>
      <c r="I21" s="15">
        <f>SUM(I13:I20)</f>
        <v>10.5</v>
      </c>
      <c r="J21" s="15"/>
      <c r="K21" s="15">
        <f>SUM(K13:K20)</f>
        <v>0</v>
      </c>
    </row>
    <row r="22" spans="1:11" ht="15.75" customHeight="1" outlineLevel="1">
      <c r="A22" s="56"/>
      <c r="B22" s="29" t="s">
        <v>13</v>
      </c>
      <c r="C22" s="16">
        <f>VLOOKUP(C21,ESCALA_IEP!A2:B202,2,FALSE)</f>
        <v>4</v>
      </c>
    </row>
    <row r="23" spans="1:11" ht="15.75" customHeight="1"/>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C11" sqref="C11"/>
    </sheetView>
  </sheetViews>
  <sheetFormatPr defaultColWidth="11.42578125" defaultRowHeight="14.45"/>
  <cols>
    <col min="1" max="6" width="38.7109375" customWidth="1"/>
  </cols>
  <sheetData>
    <row r="1" spans="1:6" ht="15" thickBot="1">
      <c r="A1" s="44" t="s">
        <v>14</v>
      </c>
      <c r="B1" s="46" t="s">
        <v>15</v>
      </c>
      <c r="C1" s="47"/>
      <c r="D1" s="47"/>
      <c r="E1" s="48"/>
      <c r="F1" s="44" t="s">
        <v>16</v>
      </c>
    </row>
    <row r="2" spans="1:6">
      <c r="A2" s="45"/>
      <c r="B2" s="50" t="s">
        <v>17</v>
      </c>
      <c r="C2" s="50" t="s">
        <v>18</v>
      </c>
      <c r="D2" s="20" t="s">
        <v>19</v>
      </c>
      <c r="E2" s="21" t="s">
        <v>10</v>
      </c>
      <c r="F2" s="45"/>
    </row>
    <row r="3" spans="1:6" ht="15" thickBot="1">
      <c r="A3" s="45"/>
      <c r="B3" s="51"/>
      <c r="C3" s="51"/>
      <c r="D3" s="36">
        <v>-0.3</v>
      </c>
      <c r="E3" s="36">
        <v>0</v>
      </c>
      <c r="F3" s="49"/>
    </row>
    <row r="4" spans="1:6" ht="55.9" thickBot="1">
      <c r="A4" s="23" t="s">
        <v>20</v>
      </c>
      <c r="B4" s="23" t="s">
        <v>21</v>
      </c>
      <c r="C4" s="23" t="s">
        <v>22</v>
      </c>
      <c r="D4" s="23" t="s">
        <v>23</v>
      </c>
      <c r="E4" s="23" t="s">
        <v>24</v>
      </c>
      <c r="F4" s="22">
        <v>10</v>
      </c>
    </row>
    <row r="5" spans="1:6" ht="55.9" thickBot="1">
      <c r="A5" s="23" t="s">
        <v>25</v>
      </c>
      <c r="B5" s="23" t="s">
        <v>26</v>
      </c>
      <c r="C5" s="23" t="s">
        <v>27</v>
      </c>
      <c r="D5" s="23" t="s">
        <v>28</v>
      </c>
      <c r="E5" s="23" t="s">
        <v>29</v>
      </c>
      <c r="F5" s="22">
        <v>10</v>
      </c>
    </row>
    <row r="6" spans="1:6" ht="97.15" thickBot="1">
      <c r="A6" s="23" t="s">
        <v>30</v>
      </c>
      <c r="B6" s="23" t="s">
        <v>31</v>
      </c>
      <c r="C6" s="23" t="s">
        <v>32</v>
      </c>
      <c r="D6" s="23" t="s">
        <v>33</v>
      </c>
      <c r="E6" s="23" t="s">
        <v>34</v>
      </c>
      <c r="F6" s="22">
        <v>25</v>
      </c>
    </row>
    <row r="7" spans="1:6" ht="42" thickBot="1">
      <c r="A7" s="23" t="s">
        <v>35</v>
      </c>
      <c r="B7" s="23" t="s">
        <v>36</v>
      </c>
      <c r="C7" s="23" t="s">
        <v>37</v>
      </c>
      <c r="D7" s="23" t="s">
        <v>38</v>
      </c>
      <c r="E7" s="23" t="s">
        <v>39</v>
      </c>
      <c r="F7" s="22">
        <v>5</v>
      </c>
    </row>
    <row r="8" spans="1:6" ht="55.15">
      <c r="A8" s="23" t="s">
        <v>40</v>
      </c>
      <c r="B8" s="23" t="s">
        <v>41</v>
      </c>
      <c r="C8" s="23" t="s">
        <v>42</v>
      </c>
      <c r="D8" s="23" t="s">
        <v>43</v>
      </c>
      <c r="E8" s="23" t="s">
        <v>44</v>
      </c>
      <c r="F8" s="37">
        <v>5</v>
      </c>
    </row>
    <row r="9" spans="1:6" ht="55.9" thickBot="1">
      <c r="A9" s="23" t="s">
        <v>45</v>
      </c>
      <c r="B9" s="23" t="s">
        <v>46</v>
      </c>
      <c r="C9" s="23" t="s">
        <v>47</v>
      </c>
      <c r="D9" s="23" t="s">
        <v>48</v>
      </c>
      <c r="E9" s="23" t="s">
        <v>49</v>
      </c>
      <c r="F9" s="22">
        <v>20</v>
      </c>
    </row>
    <row r="10" spans="1:6" ht="69.599999999999994" thickBot="1">
      <c r="A10" s="38" t="s">
        <v>50</v>
      </c>
      <c r="B10" s="38" t="s">
        <v>51</v>
      </c>
      <c r="C10" s="38" t="s">
        <v>52</v>
      </c>
      <c r="D10" s="38" t="s">
        <v>53</v>
      </c>
      <c r="E10" s="38" t="s">
        <v>54</v>
      </c>
      <c r="F10" s="31">
        <v>15</v>
      </c>
    </row>
    <row r="11" spans="1:6" ht="81.599999999999994" customHeight="1">
      <c r="A11" s="23" t="s">
        <v>55</v>
      </c>
      <c r="B11" s="23" t="s">
        <v>56</v>
      </c>
      <c r="C11" s="23" t="s">
        <v>57</v>
      </c>
      <c r="D11" s="23" t="s">
        <v>58</v>
      </c>
      <c r="E11" s="23" t="s">
        <v>59</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1.1000000000000001</v>
      </c>
    </row>
    <row r="8" spans="1:2" ht="14.45">
      <c r="A8">
        <v>3</v>
      </c>
      <c r="B8">
        <v>1.2</v>
      </c>
    </row>
    <row r="9" spans="1:2" ht="14.45">
      <c r="A9">
        <v>3.5</v>
      </c>
      <c r="B9">
        <v>1.2</v>
      </c>
    </row>
    <row r="10" spans="1:2" ht="14.45">
      <c r="A10">
        <v>4</v>
      </c>
      <c r="B10">
        <v>1.2</v>
      </c>
    </row>
    <row r="11" spans="1:2" ht="14.45">
      <c r="A11">
        <v>4.5</v>
      </c>
      <c r="B11">
        <v>1.2</v>
      </c>
    </row>
    <row r="12" spans="1:2" ht="14.45">
      <c r="A12">
        <v>5</v>
      </c>
      <c r="B12">
        <v>1.3</v>
      </c>
    </row>
    <row r="13" spans="1:2" ht="14.45">
      <c r="A13">
        <v>5.5</v>
      </c>
      <c r="B13">
        <v>1.3</v>
      </c>
    </row>
    <row r="14" spans="1:2" ht="14.45">
      <c r="A14">
        <v>6</v>
      </c>
      <c r="B14">
        <v>1.3</v>
      </c>
    </row>
    <row r="15" spans="1:2" ht="14.45">
      <c r="A15">
        <v>6.5</v>
      </c>
      <c r="B15">
        <v>1.3</v>
      </c>
    </row>
    <row r="16" spans="1:2" ht="14.45">
      <c r="A16">
        <v>7</v>
      </c>
      <c r="B16">
        <v>1.4</v>
      </c>
    </row>
    <row r="17" spans="1:2" ht="14.45">
      <c r="A17">
        <v>7.5</v>
      </c>
      <c r="B17">
        <v>1.4</v>
      </c>
    </row>
    <row r="18" spans="1:2" ht="14.45">
      <c r="A18">
        <v>8</v>
      </c>
      <c r="B18">
        <v>1.4</v>
      </c>
    </row>
    <row r="19" spans="1:2" ht="14.45">
      <c r="A19">
        <v>8.5</v>
      </c>
      <c r="B19">
        <v>1.4</v>
      </c>
    </row>
    <row r="20" spans="1:2" ht="14.45">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60</v>
      </c>
      <c r="B1" t="s">
        <v>61</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ht="14.45">
      <c r="A1" t="s">
        <v>12</v>
      </c>
      <c r="B1" t="s">
        <v>13</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52" t="s">
        <v>62</v>
      </c>
      <c r="B1" s="6" t="s">
        <v>12</v>
      </c>
      <c r="C1" s="7"/>
      <c r="D1" s="7"/>
      <c r="E1" s="8"/>
    </row>
    <row r="2" spans="1:5" ht="43.9" thickBot="1">
      <c r="A2" s="58"/>
      <c r="B2" s="9" t="s">
        <v>7</v>
      </c>
      <c r="C2" s="10" t="s">
        <v>8</v>
      </c>
      <c r="D2" s="28" t="s">
        <v>11</v>
      </c>
      <c r="E2" s="39" t="s">
        <v>10</v>
      </c>
    </row>
    <row r="3" spans="1:5" ht="29.45" thickBot="1">
      <c r="A3" s="11" t="s">
        <v>63</v>
      </c>
      <c r="B3" s="12">
        <v>4</v>
      </c>
      <c r="C3" s="12">
        <v>3</v>
      </c>
      <c r="D3" s="12">
        <v>2</v>
      </c>
      <c r="E3" s="12">
        <v>0</v>
      </c>
    </row>
    <row r="4" spans="1:5" thickBot="1">
      <c r="A4" s="11"/>
      <c r="B4" s="12"/>
      <c r="C4" s="12"/>
      <c r="D4" s="12"/>
      <c r="E4" s="12"/>
    </row>
    <row r="5" spans="1: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Usuario invitado</cp:lastModifiedBy>
  <cp:revision/>
  <dcterms:created xsi:type="dcterms:W3CDTF">2023-08-07T04:08:01Z</dcterms:created>
  <dcterms:modified xsi:type="dcterms:W3CDTF">2025-10-13T14:24:41Z</dcterms:modified>
  <cp:category/>
  <cp:contentStatus/>
</cp:coreProperties>
</file>